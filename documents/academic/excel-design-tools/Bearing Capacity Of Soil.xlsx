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P\semester 7\"/>
    </mc:Choice>
  </mc:AlternateContent>
  <xr:revisionPtr revIDLastSave="0" documentId="8_{D3B6565C-EAC3-412D-8BCE-0C8B93FAB0B8}" xr6:coauthVersionLast="45" xr6:coauthVersionMax="45" xr10:uidLastSave="{00000000-0000-0000-0000-000000000000}"/>
  <bookViews>
    <workbookView xWindow="-120" yWindow="-120" windowWidth="20730" windowHeight="11310" xr2:uid="{DF3B556B-403D-4404-B30E-3DAE54721D61}"/>
  </bookViews>
  <sheets>
    <sheet name="Bearing Capacity of soi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2" i="1" l="1"/>
  <c r="O21" i="1"/>
  <c r="N22" i="1"/>
  <c r="N21" i="1"/>
  <c r="L21" i="1"/>
  <c r="M21" i="1" s="1"/>
  <c r="D22" i="1"/>
  <c r="L22" i="1" s="1"/>
  <c r="M22" i="1" s="1"/>
  <c r="D21" i="1"/>
  <c r="C7" i="1"/>
  <c r="C6" i="1"/>
  <c r="C8" i="1" s="1"/>
</calcChain>
</file>

<file path=xl/sharedStrings.xml><?xml version="1.0" encoding="utf-8"?>
<sst xmlns="http://schemas.openxmlformats.org/spreadsheetml/2006/main" count="49" uniqueCount="43">
  <si>
    <t>KN</t>
  </si>
  <si>
    <t>COHESSION</t>
  </si>
  <si>
    <t xml:space="preserve"> </t>
  </si>
  <si>
    <t>GL TO DF</t>
  </si>
  <si>
    <t>BELOW DF</t>
  </si>
  <si>
    <t>DEPTH OF FOUNDATION</t>
  </si>
  <si>
    <t>ANGLE OF FRICTION</t>
  </si>
  <si>
    <t>B</t>
  </si>
  <si>
    <t>L</t>
  </si>
  <si>
    <t>q</t>
  </si>
  <si>
    <t>Terzaghi's Bearing Capacity=</t>
  </si>
  <si>
    <t>1.3cNc+qNq+.48Bɣ'Nɣ</t>
  </si>
  <si>
    <t>mm</t>
  </si>
  <si>
    <t>(m)</t>
  </si>
  <si>
    <t>(kPa)</t>
  </si>
  <si>
    <r>
      <t>q</t>
    </r>
    <r>
      <rPr>
        <vertAlign val="subscript"/>
        <sz val="11"/>
        <color theme="1"/>
        <rFont val="Calibri"/>
        <family val="2"/>
        <scheme val="minor"/>
      </rPr>
      <t>applied</t>
    </r>
  </si>
  <si>
    <r>
      <t>q</t>
    </r>
    <r>
      <rPr>
        <vertAlign val="subscript"/>
        <sz val="11"/>
        <color theme="1"/>
        <rFont val="Calibri"/>
        <family val="2"/>
        <scheme val="minor"/>
      </rPr>
      <t>allow</t>
    </r>
  </si>
  <si>
    <r>
      <t>q</t>
    </r>
    <r>
      <rPr>
        <vertAlign val="subscript"/>
        <sz val="11"/>
        <color theme="1"/>
        <rFont val="Calibri"/>
        <family val="2"/>
        <scheme val="minor"/>
      </rPr>
      <t>alt</t>
    </r>
  </si>
  <si>
    <t>Applied load=</t>
  </si>
  <si>
    <t>FA=</t>
  </si>
  <si>
    <r>
      <t xml:space="preserve">Saturated Unit Weight, </t>
    </r>
    <r>
      <rPr>
        <sz val="11"/>
        <color theme="1"/>
        <rFont val="Calibri"/>
        <family val="2"/>
      </rPr>
      <t>ɣ</t>
    </r>
    <r>
      <rPr>
        <vertAlign val="subscript"/>
        <sz val="11"/>
        <color theme="1"/>
        <rFont val="Calibri"/>
        <family val="2"/>
      </rPr>
      <t>SAT(1)</t>
    </r>
    <r>
      <rPr>
        <sz val="11"/>
        <color theme="1"/>
        <rFont val="Calibri"/>
        <family val="2"/>
        <scheme val="minor"/>
      </rPr>
      <t>=</t>
    </r>
  </si>
  <si>
    <r>
      <t xml:space="preserve">Saturated Unit Weight, </t>
    </r>
    <r>
      <rPr>
        <sz val="11"/>
        <color theme="1"/>
        <rFont val="Calibri"/>
        <family val="2"/>
      </rPr>
      <t>ɣ</t>
    </r>
    <r>
      <rPr>
        <vertAlign val="subscript"/>
        <sz val="11"/>
        <color theme="1"/>
        <rFont val="Calibri"/>
        <family val="2"/>
      </rPr>
      <t>SAT(2)</t>
    </r>
    <r>
      <rPr>
        <sz val="11"/>
        <color theme="1"/>
        <rFont val="Calibri"/>
        <family val="2"/>
        <scheme val="minor"/>
      </rPr>
      <t>=</t>
    </r>
  </si>
  <si>
    <t>shape of footing=</t>
  </si>
  <si>
    <t>DL=</t>
  </si>
  <si>
    <t>LL=</t>
  </si>
  <si>
    <t>column 8 loaded area=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</si>
  <si>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</si>
  <si>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story no=</t>
  </si>
  <si>
    <t>slab thickness=</t>
  </si>
  <si>
    <t>unit weight of concrete=</t>
  </si>
  <si>
    <r>
      <t>kN/m</t>
    </r>
    <r>
      <rPr>
        <vertAlign val="superscript"/>
        <sz val="11"/>
        <color theme="1"/>
        <rFont val="Calibri"/>
        <family val="2"/>
        <scheme val="minor"/>
      </rPr>
      <t>3</t>
    </r>
  </si>
  <si>
    <t>kN</t>
  </si>
  <si>
    <t>Maximum Allowable settlement=</t>
  </si>
  <si>
    <t>square</t>
  </si>
  <si>
    <r>
      <t>N</t>
    </r>
    <r>
      <rPr>
        <vertAlign val="subscript"/>
        <sz val="11"/>
        <color theme="1"/>
        <rFont val="Calibri"/>
        <family val="2"/>
        <scheme val="minor"/>
      </rPr>
      <t>c</t>
    </r>
  </si>
  <si>
    <r>
      <t>N</t>
    </r>
    <r>
      <rPr>
        <vertAlign val="subscript"/>
        <sz val="11"/>
        <color theme="1"/>
        <rFont val="Calibri"/>
        <family val="2"/>
        <scheme val="minor"/>
      </rPr>
      <t>q</t>
    </r>
  </si>
  <si>
    <r>
      <t>N</t>
    </r>
    <r>
      <rPr>
        <vertAlign val="subscript"/>
        <sz val="11"/>
        <color theme="1"/>
        <rFont val="Calibri"/>
        <family val="2"/>
        <scheme val="minor"/>
      </rPr>
      <t>ɣ</t>
    </r>
  </si>
  <si>
    <t>REMARKS</t>
  </si>
  <si>
    <r>
      <t>(kN/m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</si>
  <si>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(kN/m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</si>
  <si>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(</t>
    </r>
    <r>
      <rPr>
        <b/>
        <sz val="11"/>
        <color theme="1"/>
        <rFont val="Calibri"/>
        <family val="2"/>
      </rPr>
      <t>°)</t>
    </r>
  </si>
  <si>
    <r>
      <t>(kN/m</t>
    </r>
    <r>
      <rPr>
        <b/>
        <vertAlign val="superscript"/>
        <sz val="11"/>
        <color theme="1"/>
        <rFont val="Calibri"/>
        <family val="2"/>
        <scheme val="minor"/>
      </rPr>
      <t>2)</t>
    </r>
  </si>
  <si>
    <t>Project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</si>
</sst>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right" vertical="center" wrapText="1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/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horizontal="left" vertical="center" wrapText="1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8B71-27D3-417A-9D66-50D73D5EE8B1}">
  <dimension ref="A1:O34"/>
  <sheetViews>
    <sheetView tabSelected="1" workbookViewId="0">
      <selection activeCell="H10" sqref="H10"/>
    </sheetView>
  </sheetViews>
  <sheetFormatPr defaultRowHeight="15" x14ac:dyDescent="0.25"/>
  <cols>
    <col min="2" max="2" width="39.7109375" customWidth="1"/>
    <col min="3" max="3" width="12.85546875" style="1" customWidth="1"/>
    <col min="4" max="4" width="10.42578125" style="1" customWidth="1"/>
    <col min="5" max="5" width="11.28515625" style="1" customWidth="1"/>
    <col min="12" max="12" width="11.140625" customWidth="1"/>
  </cols>
  <sheetData>
    <row r="1" spans="1:6" x14ac:dyDescent="0.25">
      <c r="A1" s="12" t="s">
        <v>42</v>
      </c>
      <c r="B1" s="12"/>
      <c r="C1" s="12"/>
      <c r="D1" s="12"/>
      <c r="E1" s="12"/>
      <c r="F1" s="12"/>
    </row>
    <row r="2" spans="1:6" ht="17.25" x14ac:dyDescent="0.25">
      <c r="B2" s="13" t="s">
        <v>29</v>
      </c>
      <c r="C2" s="17">
        <v>24</v>
      </c>
      <c r="D2" s="15" t="s">
        <v>30</v>
      </c>
      <c r="E2" s="4"/>
    </row>
    <row r="3" spans="1:6" x14ac:dyDescent="0.25">
      <c r="B3" s="13" t="s">
        <v>28</v>
      </c>
      <c r="C3" s="17">
        <v>250</v>
      </c>
      <c r="D3" s="15" t="s">
        <v>12</v>
      </c>
      <c r="E3" s="4"/>
    </row>
    <row r="4" spans="1:6" x14ac:dyDescent="0.25">
      <c r="B4" s="13" t="s">
        <v>27</v>
      </c>
      <c r="C4" s="17">
        <v>8</v>
      </c>
      <c r="D4" s="15"/>
      <c r="E4" s="4"/>
    </row>
    <row r="5" spans="1:6" ht="17.25" x14ac:dyDescent="0.25">
      <c r="B5" s="13" t="s">
        <v>25</v>
      </c>
      <c r="C5" s="17">
        <v>36</v>
      </c>
      <c r="D5" s="15" t="s">
        <v>26</v>
      </c>
      <c r="E5" s="4"/>
    </row>
    <row r="6" spans="1:6" x14ac:dyDescent="0.25">
      <c r="B6" s="13" t="s">
        <v>23</v>
      </c>
      <c r="C6" s="17">
        <f>(C3/1000)*C2*C4*C5+0.05*C2*C4*C5+3*C5*7</f>
        <v>2829.6</v>
      </c>
      <c r="D6" s="15" t="s">
        <v>31</v>
      </c>
      <c r="E6" s="4"/>
    </row>
    <row r="7" spans="1:6" x14ac:dyDescent="0.25">
      <c r="B7" s="13" t="s">
        <v>24</v>
      </c>
      <c r="C7" s="17">
        <f>2*C5*7+1.5*C5*1</f>
        <v>558</v>
      </c>
      <c r="D7" s="15"/>
      <c r="E7" s="4"/>
    </row>
    <row r="8" spans="1:6" x14ac:dyDescent="0.25">
      <c r="B8" s="14" t="s">
        <v>18</v>
      </c>
      <c r="C8" s="17">
        <f>1.2*C6+1.6*C7</f>
        <v>4288.32</v>
      </c>
      <c r="D8" s="15" t="s">
        <v>0</v>
      </c>
      <c r="E8" s="4"/>
    </row>
    <row r="9" spans="1:6" x14ac:dyDescent="0.25">
      <c r="B9" s="14" t="s">
        <v>19</v>
      </c>
      <c r="C9" s="17">
        <v>2</v>
      </c>
      <c r="D9" s="15"/>
      <c r="E9" s="4"/>
    </row>
    <row r="10" spans="1:6" x14ac:dyDescent="0.25">
      <c r="B10" s="14" t="s">
        <v>32</v>
      </c>
      <c r="C10" s="17">
        <v>25</v>
      </c>
      <c r="D10" s="15" t="s">
        <v>12</v>
      </c>
      <c r="E10" s="4"/>
    </row>
    <row r="11" spans="1:6" ht="18" x14ac:dyDescent="0.25">
      <c r="B11" s="14" t="s">
        <v>20</v>
      </c>
      <c r="C11" s="17">
        <v>19</v>
      </c>
      <c r="D11" s="16" t="s">
        <v>38</v>
      </c>
      <c r="E11" s="4" t="s">
        <v>3</v>
      </c>
    </row>
    <row r="12" spans="1:6" ht="18" x14ac:dyDescent="0.25">
      <c r="B12" s="14" t="s">
        <v>21</v>
      </c>
      <c r="C12" s="17">
        <v>19</v>
      </c>
      <c r="D12" s="16" t="s">
        <v>38</v>
      </c>
      <c r="E12" s="4" t="s">
        <v>4</v>
      </c>
    </row>
    <row r="13" spans="1:6" x14ac:dyDescent="0.25">
      <c r="B13" s="14" t="s">
        <v>22</v>
      </c>
      <c r="C13" s="17" t="s">
        <v>33</v>
      </c>
      <c r="D13" s="15" t="s">
        <v>2</v>
      </c>
      <c r="E13" s="4"/>
    </row>
    <row r="14" spans="1:6" x14ac:dyDescent="0.25">
      <c r="D14" s="4"/>
      <c r="E14" s="4"/>
    </row>
    <row r="18" spans="3:15" x14ac:dyDescent="0.25">
      <c r="C18" s="5" t="s">
        <v>10</v>
      </c>
      <c r="D18" s="5"/>
      <c r="E18" s="5"/>
      <c r="F18" s="5"/>
      <c r="G18" s="6" t="s">
        <v>11</v>
      </c>
      <c r="H18" s="6"/>
      <c r="I18" s="6"/>
      <c r="J18" s="3"/>
      <c r="K18" s="3"/>
      <c r="L18" s="3"/>
      <c r="M18" s="3"/>
      <c r="N18" s="3"/>
    </row>
    <row r="19" spans="3:15" ht="49.5" customHeight="1" x14ac:dyDescent="0.25">
      <c r="C19" s="7" t="s">
        <v>5</v>
      </c>
      <c r="D19" s="7" t="s">
        <v>9</v>
      </c>
      <c r="E19" s="7" t="s">
        <v>1</v>
      </c>
      <c r="F19" s="7" t="s">
        <v>6</v>
      </c>
      <c r="G19" s="7" t="s">
        <v>34</v>
      </c>
      <c r="H19" s="7" t="s">
        <v>35</v>
      </c>
      <c r="I19" s="7" t="s">
        <v>36</v>
      </c>
      <c r="J19" s="7" t="s">
        <v>7</v>
      </c>
      <c r="K19" s="7" t="s">
        <v>8</v>
      </c>
      <c r="L19" s="7" t="s">
        <v>17</v>
      </c>
      <c r="M19" s="7" t="s">
        <v>16</v>
      </c>
      <c r="N19" s="7" t="s">
        <v>15</v>
      </c>
      <c r="O19" s="8" t="s">
        <v>37</v>
      </c>
    </row>
    <row r="20" spans="3:15" ht="17.25" x14ac:dyDescent="0.25">
      <c r="C20" s="10" t="s">
        <v>13</v>
      </c>
      <c r="D20" s="11" t="s">
        <v>39</v>
      </c>
      <c r="E20" s="10" t="s">
        <v>14</v>
      </c>
      <c r="F20" s="10" t="s">
        <v>40</v>
      </c>
      <c r="G20" s="11"/>
      <c r="H20" s="11"/>
      <c r="I20" s="11"/>
      <c r="J20" s="11" t="s">
        <v>13</v>
      </c>
      <c r="K20" s="11" t="s">
        <v>13</v>
      </c>
      <c r="L20" s="11" t="s">
        <v>39</v>
      </c>
      <c r="M20" s="11" t="s">
        <v>41</v>
      </c>
      <c r="N20" s="11" t="s">
        <v>41</v>
      </c>
      <c r="O20" s="8"/>
    </row>
    <row r="21" spans="3:15" x14ac:dyDescent="0.25">
      <c r="C21" s="2">
        <v>1.5</v>
      </c>
      <c r="D21" s="2">
        <f>($C$11-9.81)*C21</f>
        <v>13.785</v>
      </c>
      <c r="E21" s="2">
        <v>45</v>
      </c>
      <c r="F21" s="2">
        <v>8</v>
      </c>
      <c r="G21" s="2">
        <v>8.6</v>
      </c>
      <c r="H21" s="2">
        <v>2.21</v>
      </c>
      <c r="I21" s="2">
        <v>0.35</v>
      </c>
      <c r="J21" s="3">
        <v>2.5</v>
      </c>
      <c r="K21" s="3">
        <v>2.5</v>
      </c>
      <c r="L21" s="3">
        <f>1.3*E21*G21+D21*H21+0.48*J21*($C$11-9.81)*I21</f>
        <v>537.42464999999993</v>
      </c>
      <c r="M21" s="3">
        <f>L21/$C$9</f>
        <v>268.71232499999996</v>
      </c>
      <c r="N21" s="3">
        <f>$C$8/(J21*K21)</f>
        <v>686.13119999999992</v>
      </c>
      <c r="O21" s="9" t="str">
        <f>IF(L21&gt;N21,"ok","not ok")</f>
        <v>not ok</v>
      </c>
    </row>
    <row r="22" spans="3:15" x14ac:dyDescent="0.25">
      <c r="C22" s="2">
        <v>1.5</v>
      </c>
      <c r="D22" s="2">
        <f t="shared" ref="D22:D28" si="0">($C$11-9.81)*C22</f>
        <v>13.785</v>
      </c>
      <c r="E22" s="2">
        <v>45</v>
      </c>
      <c r="F22" s="2">
        <v>8</v>
      </c>
      <c r="G22" s="2">
        <v>8.6</v>
      </c>
      <c r="H22" s="2">
        <v>2.21</v>
      </c>
      <c r="I22" s="2">
        <v>0.35</v>
      </c>
      <c r="J22" s="3">
        <v>3</v>
      </c>
      <c r="K22" s="3">
        <v>3</v>
      </c>
      <c r="L22" s="3">
        <f t="shared" ref="L22:L28" si="1">1.3*E22*G22+D22*H22+0.48*J22*($C$11-9.81)*I22</f>
        <v>538.19660999999996</v>
      </c>
      <c r="M22" s="3">
        <f t="shared" ref="M22:M28" si="2">L22/$C$9</f>
        <v>269.09830499999998</v>
      </c>
      <c r="N22" s="3">
        <f t="shared" ref="N22:N28" si="3">$C$8/(J22*K22)</f>
        <v>476.47999999999996</v>
      </c>
      <c r="O22" s="9" t="str">
        <f>IF(L22&gt;N22,"ok","not ok")</f>
        <v>ok</v>
      </c>
    </row>
    <row r="23" spans="3:15" x14ac:dyDescent="0.25">
      <c r="C23" s="2"/>
      <c r="D23" s="2"/>
      <c r="E23" s="2"/>
      <c r="F23" s="2"/>
      <c r="G23" s="2"/>
      <c r="H23" s="2"/>
      <c r="I23" s="2"/>
      <c r="J23" s="3"/>
      <c r="K23" s="3"/>
      <c r="L23" s="3"/>
      <c r="M23" s="3"/>
      <c r="N23" s="3"/>
    </row>
    <row r="24" spans="3:15" x14ac:dyDescent="0.25">
      <c r="C24" s="2"/>
      <c r="D24" s="2"/>
      <c r="E24" s="2"/>
      <c r="F24" s="2"/>
      <c r="G24" s="2"/>
      <c r="H24" s="2"/>
      <c r="I24" s="2"/>
      <c r="J24" s="3"/>
      <c r="K24" s="3"/>
      <c r="L24" s="3"/>
      <c r="M24" s="3"/>
      <c r="N24" s="3"/>
    </row>
    <row r="25" spans="3:15" x14ac:dyDescent="0.25">
      <c r="C25" s="2"/>
      <c r="D25" s="2"/>
      <c r="E25" s="2"/>
      <c r="F25" s="2"/>
      <c r="G25" s="2"/>
      <c r="H25" s="2"/>
      <c r="I25" s="2"/>
      <c r="J25" s="3"/>
      <c r="K25" s="3"/>
      <c r="L25" s="3"/>
      <c r="M25" s="3"/>
      <c r="N25" s="3"/>
    </row>
    <row r="26" spans="3:15" x14ac:dyDescent="0.25">
      <c r="C26" s="2"/>
      <c r="D26" s="2"/>
      <c r="E26" s="2"/>
      <c r="F26" s="2"/>
      <c r="G26" s="2"/>
      <c r="H26" s="2"/>
      <c r="I26" s="2"/>
      <c r="J26" s="3"/>
      <c r="K26" s="3"/>
      <c r="L26" s="3"/>
      <c r="M26" s="3"/>
      <c r="N26" s="3"/>
    </row>
    <row r="27" spans="3:15" x14ac:dyDescent="0.25">
      <c r="C27" s="2"/>
      <c r="D27" s="2"/>
      <c r="E27" s="2"/>
      <c r="F27" s="2"/>
      <c r="G27" s="2"/>
      <c r="H27" s="2"/>
      <c r="I27" s="2"/>
      <c r="J27" s="3"/>
      <c r="K27" s="3"/>
      <c r="L27" s="3"/>
      <c r="M27" s="3"/>
      <c r="N27" s="3"/>
    </row>
    <row r="28" spans="3:15" x14ac:dyDescent="0.25">
      <c r="C28" s="2"/>
      <c r="D28" s="2"/>
      <c r="E28" s="2"/>
      <c r="F28" s="2"/>
      <c r="G28" s="2"/>
      <c r="H28" s="2"/>
      <c r="I28" s="2"/>
      <c r="J28" s="3"/>
      <c r="K28" s="3"/>
      <c r="L28" s="3"/>
      <c r="M28" s="3"/>
      <c r="N28" s="3"/>
    </row>
    <row r="29" spans="3:15" x14ac:dyDescent="0.25">
      <c r="F29" s="1"/>
      <c r="G29" s="1"/>
    </row>
    <row r="30" spans="3:15" x14ac:dyDescent="0.25">
      <c r="F30" s="1"/>
      <c r="G30" s="1"/>
    </row>
    <row r="31" spans="3:15" x14ac:dyDescent="0.25">
      <c r="F31" s="1"/>
      <c r="G31" s="1"/>
    </row>
    <row r="32" spans="3:15" x14ac:dyDescent="0.25">
      <c r="F32" s="1"/>
    </row>
    <row r="33" spans="6:6" x14ac:dyDescent="0.25">
      <c r="F33" s="1"/>
    </row>
    <row r="34" spans="6:6" x14ac:dyDescent="0.25">
      <c r="F34" s="1"/>
    </row>
  </sheetData>
  <mergeCells count="4">
    <mergeCell ref="C18:F18"/>
    <mergeCell ref="G18:I18"/>
    <mergeCell ref="O19:O20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Bearing Capacity of soil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Ruyel Miah</dc:creator>
  <cp:lastModifiedBy>Md. Ruyel Miah</cp:lastModifiedBy>
  <dcterms:created xsi:type="dcterms:W3CDTF">2020-10-09T10:27:25Z</dcterms:created>
  <dcterms:modified xsi:type="dcterms:W3CDTF">2020-10-09T11:52:54Z</dcterms:modified>
</cp:coreProperties>
</file>